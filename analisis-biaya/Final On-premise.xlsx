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ex On-premise" sheetId="1" r:id="rId5"/>
  </sheets>
  <definedNames/>
  <calcPr/>
</workbook>
</file>

<file path=xl/sharedStrings.xml><?xml version="1.0" encoding="utf-8"?>
<sst xmlns="http://schemas.openxmlformats.org/spreadsheetml/2006/main" count="77" uniqueCount="74">
  <si>
    <t>SURVEI CAPEX ON-PREMISE — DRC KOTA BOGOR</t>
  </si>
  <si>
    <t>Kelompok 1 · Estimasi harga berdasarkan E-Katalog LKPP, Bhinneka, dan marketplace (2026)</t>
  </si>
  <si>
    <t>ℹ️  Transfer rate simulasi: 43.4 MB/s (347 Mbps)  —  Spesifikasi server dirancang agar bandwidth replikasi tidak menjadi bottleneck  |  Sumber harga: E-Katalog LKPP / Bhinneka / Tokopedia (estimasi 2025)</t>
  </si>
  <si>
    <t>💰  RINCIAN BIAYA KOMPONEN (CAPEX — Biaya Investasi Awal)</t>
  </si>
  <si>
    <t>#</t>
  </si>
  <si>
    <t>Komponen</t>
  </si>
  <si>
    <t xml:space="preserve">Nama </t>
  </si>
  <si>
    <t>Spesifikasi</t>
  </si>
  <si>
    <t>Qty</t>
  </si>
  <si>
    <t>Harga Satuan (Rp)</t>
  </si>
  <si>
    <t>Total (Rp)</t>
  </si>
  <si>
    <t>Sumber</t>
  </si>
  <si>
    <t>Catatan</t>
  </si>
  <si>
    <t>Server Rack 2U (Site A — Primary)</t>
  </si>
  <si>
    <t>Server Dell Power Edge R350, Xeon E-2356G, 16GB, 1,2TB SAS</t>
  </si>
  <si>
    <t>PowerEdge R350 (Rack)
Intel Xeon E-2356G 3.2GHz, 12M Cache, 6C/12T, Turbo (80W), 3200 MT/s
16GB UDIMM, 3200MT/s, ECC
1.2TB Hard Drive SAS ISE 12Gbps 10k 512n 2.5in with 3.5in HYB CARR</t>
  </si>
  <si>
    <t>https://www.tokopedia.com/gwjtech/server-dell-power-edge-r350-xeon-e-2356g-16gb-1-2tb-sas</t>
  </si>
  <si>
    <t>Server utama layanan Dukcapil &amp; SIKDA</t>
  </si>
  <si>
    <t>Server Rack 2U (Site B — DRC)</t>
  </si>
  <si>
    <t>PowerEdge R350 (Rack)
Intel Xeon E-2356G 3.2GHz, 12M Cache, 6C/12T, Turbo (80W), 3200 MT/s
16GB UDIMM, 3200MT/s, ECC
1.2TB Hard Drive SAS ISE 12Gbps 10k 512n 2.5in with 3.5in HYB CARR</t>
  </si>
  <si>
    <t>Server DRC — recovery site</t>
  </si>
  <si>
    <t>NAS / Storage Backup</t>
  </si>
  <si>
    <t>SYNOLOGY DS423+ DiskStation 4 Bay NAS Storage Server Backup Desktop - Garansi Pro-2</t>
  </si>
  <si>
    <t>Drive Bays: 4
M.2 Drive Slots: 2 (NVMe)
Compatible Drive Type* (See all supported drives):
3.5" SATA HDD
2.5" SATA SSD
M.2 2280 NVMe SSD</t>
  </si>
  <si>
    <t>https://www.tokopedia.com/phanstorecom/synology-ds423-diskstation-4-bay-nas-storage-server-backup-desktop-garansi-pro-2-1731200229896783182?extParam=ivf%3Dfalse%26keyword%3D%224-bay+nas%2C+4%C3%972tb+hdd%2C+raid-5+ex%3A+synology+ds423%2B+atau+qnap+ts-464%22%26search_id%3D20260613025243CD00692C3BFE59227UW3%26src%3Dsearch&amp;t_id=1781318882420&amp;t_st=2&amp;t_pp=search_result&amp;t_efo=search_pure_goods_card&amp;t_ef=goods_search&amp;t_sm=&amp;t_spt=search_result</t>
  </si>
  <si>
    <t>Penyimpanan backup incremental &amp; differential</t>
  </si>
  <si>
    <t>Close Rack Cabinet 19" 20U</t>
  </si>
  <si>
    <t>Indorack Close Rack 20U Glass Door Rack Server 19" Depth 600mm IR6020G</t>
  </si>
  <si>
    <t>Product ID: IR6020G
Size : 20U (1U = 44,45 mm)
Dimension : 600 × 600 × 1100 mm (Depth × Width × Heigth)
Weight : +/- 65Kg
Warranty : 3 Years - For Electircal Parts</t>
  </si>
  <si>
    <t>Tokopedia (https://www.tokopedia.com/indorack-networking/indorack-close-rack-20u-glass-door-rack-server-19-depth-600mm-ir6020g)</t>
  </si>
  <si>
    <t>1 rack per site (Site A &amp; Site B)</t>
  </si>
  <si>
    <t>UPS Online 2000VA Rackmount</t>
  </si>
  <si>
    <t>APC SRV2KI SRV2000I SRV2000 SRV2K SMART UPS ONLINE 2000VA 1600WATT</t>
  </si>
  <si>
    <t>2000VA - 1600watt - 230V- lcd display- pure sinewave- gelombang sinus murni- support software- smart ups online- software- batt int 12v 9ah x4- dimensi 40cm x 23,8cm x 14,5cm</t>
  </si>
  <si>
    <t>https://www.tokopedia.com/innovatech-official/apc-srv2ki-srv2000i-srv2000-srv2k-smart-ups-online-2000va-1600watt?extParam=ivf%3Dfalse%26keyword%3D%222000va+%2F+1600w%2C+double+conversion+online%2C+lcd+ex%3A+apc+srv2ki+%2F+prolink+2000va%22%26search_id%3D202606130255145B8ADD2A5D98B1280JZ6%26src%3Dsearch&amp;t_id=1781318882420&amp;t_st=3&amp;t_pp=search_result&amp;t_efo=search_pure_goods_card&amp;t_ef=goods_search&amp;t_sm=&amp;t_spt=search_result</t>
  </si>
  <si>
    <t>1 UPS per site, backup ~15 menit</t>
  </si>
  <si>
    <t>Managed Switch 1 Gbps (8-port)</t>
  </si>
  <si>
    <t>TP-LINK TL-SG108E 8-Port/8 Port Gigabit Easy Smart Switch/TL SG108E</t>
  </si>
  <si>
    <t xml:space="preserve">
TL-SG108E Easy Smart Switch
8-Port Gigabit
8 10/100/1000Mbps RJ45 ports</t>
  </si>
  <si>
    <t>https://www.tokopedia.com/pronetindo/tp-link-tl-sg108e-8-port-8-port-gigabit-easy-smart-switch-tl-sg108e?extParam=ivf%3Dfalse%26keyword%3Dtp-link+tl-sg108e+atau+cisco+sg110%26search_id%3D20260613025757A8C88A0055F636320PTO%26src%3Dsearch&amp;t_id=1781318882420&amp;t_st=5&amp;t_pp=search_result&amp;t_efo=search_pure_goods_card&amp;t_ef=goods_search&amp;t_sm=&amp;t_spt=search_result</t>
  </si>
  <si>
    <t>1 switch per site untuk segmentasi VLAN</t>
  </si>
  <si>
    <t>Kabel UTP Cat6 + Patch Panel</t>
  </si>
  <si>
    <t>Kabel Cat6 30m, Patch panel 12-port
Terminasi antar perangkat dalam rack</t>
  </si>
  <si>
    <t>30 m, Tingkat Transmisi: 1000 Mbps
Bandwidth Transmisi: 250 MHz
Jenis Selubung Kabel: PVC
Tipe Kabel: Tanpa pengait (hook)
Grade Kabel: CAT6
Konektor: 2× RJ-45 male (Plug RJ-45)</t>
  </si>
  <si>
    <t>https://www.tokopedia.com/upliftish/kabel-lan-cat6-10m-15m-20m-30m-40m-50m-60m-70m-80m-100m-outdoor-indoor-kabel-patch-cord-utp-rj45-cat6e-komputer-broadband-lan-cable-wifi-cctv-1731879470517224963?extParam=ivf%3Dtrue%26keyword%3Dkabel+cat6+30m%2C+patch+panel+12-port+terminasi+antar+perangkat+dalam+rack%26search_id%3D20260613025930577BCC914F9E5537BCLL%26src%3Dsearch&amp;t_id=1781318882420&amp;t_st=6&amp;t_pp=search_result&amp;t_efo=search_pure_goods_card&amp;t_ef=goods_search&amp;t_sm=&amp;t_spt=search_result</t>
  </si>
  <si>
    <t>Infrastruktur kabel antar perangkat</t>
  </si>
  <si>
    <t>AC Precision / AC Split Server Room</t>
  </si>
  <si>
    <t>AC Daikin Flash Inverter 1,5 PK Type FTKQ35UVM4</t>
  </si>
  <si>
    <t>1,5 PK, Dedicate server room</t>
  </si>
  <si>
    <t>https://www.tokopedia.com/daikin-proshop-pt-ssm/ac-daikin-flash-inverter-1-5-pk-type-ftkq35uvm4?extParam=ivf%3Dfalse%26keyword%3Dac+daikin+%2F+panasonic+1.5+pk+inverter+ruang+server%26search_id%3D2026061303022100411460F7C92D276MO3%26src%3Dsearch&amp;t_id=1781318882420&amp;t_st=8&amp;t_pp=search_result&amp;t_efo=search_pure_goods_card&amp;t_ef=goods_search&amp;t_sm=&amp;t_spt=search_result</t>
  </si>
  <si>
    <t>Pendingin ruang server (DRC site B)</t>
  </si>
  <si>
    <t>Lisensi OS Server (Windows Server 2022 Std)</t>
  </si>
  <si>
    <t>Windows Server Standar 2022 64Bit 16Core Original</t>
  </si>
  <si>
    <t>https://www.tokopedia.com/lezz-computech/windows-server-standar-2022-64bit-16core-original?extParam=ivf%3Dfalse%26keyword%3Dwindows+server+2022+standard+16-core+atau+gunakan+ubuntu+server+lts+%28gratis%29%26search_id%3D20260613030430577BCC914F9E5511A2AZ%26src%3Dsearch&amp;t_id=1781318882420&amp;t_st=9&amp;t_pp=search_result&amp;t_efo=search_pure_goods_card&amp;t_ef=goods_search&amp;t_sm=&amp;t_spt=search_result</t>
  </si>
  <si>
    <t>Opsional jika menggunakan Windows; Ubuntu = Rp 0</t>
  </si>
  <si>
    <t>Instalasi &amp; Konfigurasi Jaringan</t>
  </si>
  <si>
    <t>Jasa teknisi: pasang rack, server, kabel, konfigurasi VLAN
Estimasi 2-3 hari kerja</t>
  </si>
  <si>
    <t>Instalasi &amp; konfigurasi jaringan LAN / WLAN
Instalasi Access Point, Router, dan Switch</t>
  </si>
  <si>
    <t>Estimasi jasa IT lokal Bogor (https://www.pilarconnect.com/jasa-instalasi-server-dan-rack-server/)</t>
  </si>
  <si>
    <t>Biaya tenaga ahli setup awal</t>
  </si>
  <si>
    <t>Pemeliharaan Tahunan (support &amp; spare parts)</t>
  </si>
  <si>
    <t>Vendor</t>
  </si>
  <si>
    <t>Garansi extended, spare parts, kunjungan teknisi
~5-10% dari nilai hardware/tahun</t>
  </si>
  <si>
    <t>Estimasi vendor</t>
  </si>
  <si>
    <t>Biaya OPEX tahunan (BUKAN bagian CAPEX awal)</t>
  </si>
  <si>
    <t>RINGKASAN BIAYA</t>
  </si>
  <si>
    <t>CAPEX AWAL (tanpa pemeliharaan tahunan)</t>
  </si>
  <si>
    <t>Total investasi hardware + software + instalasi</t>
  </si>
  <si>
    <t>Biaya Pemeliharaan Per Tahun (OPEX)</t>
  </si>
  <si>
    <t>Biaya rutin tahunan setelah instalasi</t>
  </si>
  <si>
    <t>Estimasi Total Biaya 3 Tahun</t>
  </si>
  <si>
    <t>CAPEX awal + OPEX 3 tahun</t>
  </si>
  <si>
    <t>Estimasi Total Biaya 5 Tahun</t>
  </si>
  <si>
    <t>CAPEX awal + OPEX 5 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</si>
</sst>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Rp&quot;* #,##0_);_(&quot;Rp&quot;* \(#,##0\);_(&quot;Rp&quot;* \-_);_(@_)"/>
  </numFmts>
  <fonts count="31">
    <font>
      <sz val="10.0"/>
      <color rgb="FF000000"/>
      <name val="Arial"/>
      <scheme val="minor"/>
    </font>
    <font>
      <b/>
      <sz val="13.0"/>
      <color rgb="FFFFFFFF"/>
      <name val="Arial"/>
    </font>
    <font/>
    <font>
      <i/>
      <sz val="9.0"/>
      <color rgb="FF888780"/>
      <name val="Arial"/>
    </font>
    <font>
      <sz val="11.0"/>
      <color theme="1"/>
      <name val="Calibri"/>
    </font>
    <font>
      <i/>
      <sz val="9.0"/>
      <color rgb="FF0C447C"/>
      <name val="Arial"/>
    </font>
    <font>
      <b/>
      <color rgb="FF5F5E5A"/>
      <name val="Arial"/>
    </font>
    <font>
      <b/>
      <color rgb="FFFFFFFF"/>
      <name val="Arial"/>
    </font>
    <font>
      <sz val="9.0"/>
      <color rgb="FFB4B2A9"/>
      <name val="Arial"/>
    </font>
    <font>
      <b/>
      <sz val="9.0"/>
      <color rgb="FF1A1A18"/>
      <name val="Arial"/>
    </font>
    <font>
      <sz val="9.0"/>
      <color rgb="FF3D3D3A"/>
      <name val="Arial"/>
    </font>
    <font>
      <b/>
      <sz val="9.0"/>
      <color rgb="FF3D3D3A"/>
      <name val="Arial"/>
    </font>
    <font>
      <sz val="9.0"/>
      <color rgb="FF1A1A18"/>
      <name val="Arial"/>
    </font>
    <font>
      <b/>
      <color rgb="FF0C447C"/>
      <name val="Arial"/>
    </font>
    <font>
      <u/>
      <sz val="9.0"/>
      <color rgb="FF5F5E5A"/>
      <name val="Arial"/>
    </font>
    <font>
      <sz val="9.0"/>
      <color rgb="FF5F5E5A"/>
      <name val="Arial"/>
    </font>
    <font>
      <u/>
      <sz val="9.0"/>
      <color rgb="FF0000FF"/>
      <name val="Arial"/>
    </font>
    <font>
      <b/>
      <sz val="9.0"/>
      <color rgb="FF7D6608"/>
      <name val="Arial"/>
    </font>
    <font>
      <b/>
      <sz val="9.0"/>
      <color rgb="FF72243E"/>
      <name val="Arial"/>
    </font>
    <font>
      <b/>
      <sz val="11.0"/>
      <color rgb="FF085041"/>
      <name val="Arial"/>
    </font>
    <font>
      <b/>
      <sz val="12.0"/>
      <color rgb="FF085041"/>
      <name val="Arial"/>
    </font>
    <font>
      <i/>
      <sz val="9.0"/>
      <color rgb="FF085041"/>
      <name val="Arial"/>
    </font>
    <font>
      <b/>
      <sz val="11.0"/>
      <color rgb="FF7D6608"/>
      <name val="Arial"/>
    </font>
    <font>
      <b/>
      <sz val="12.0"/>
      <color rgb="FF7D6608"/>
      <name val="Arial"/>
    </font>
    <font>
      <i/>
      <sz val="9.0"/>
      <color rgb="FF7D6608"/>
      <name val="Arial"/>
    </font>
    <font>
      <b/>
      <sz val="11.0"/>
      <color rgb="FF633806"/>
      <name val="Arial"/>
    </font>
    <font>
      <b/>
      <sz val="12.0"/>
      <color rgb="FF633806"/>
      <name val="Arial"/>
    </font>
    <font>
      <i/>
      <sz val="9.0"/>
      <color rgb="FF633806"/>
      <name val="Arial"/>
    </font>
    <font>
      <b/>
      <sz val="11.0"/>
      <color rgb="FF72243E"/>
      <name val="Arial"/>
    </font>
    <font>
      <b/>
      <sz val="12.0"/>
      <color rgb="FF72243E"/>
      <name val="Arial"/>
    </font>
    <font>
      <i/>
      <sz val="9.0"/>
      <color rgb="FF72243E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C2C2A"/>
        <bgColor rgb="FF2C2C2A"/>
      </patternFill>
    </fill>
    <fill>
      <patternFill patternType="solid">
        <fgColor rgb="FF444441"/>
        <bgColor rgb="FF444441"/>
      </patternFill>
    </fill>
    <fill>
      <patternFill patternType="solid">
        <fgColor rgb="FFFFFFFF"/>
        <bgColor rgb="FFFFFFFF"/>
      </patternFill>
    </fill>
    <fill>
      <patternFill patternType="solid">
        <fgColor rgb="FFE6F1FB"/>
        <bgColor rgb="FFE6F1FB"/>
      </patternFill>
    </fill>
    <fill>
      <patternFill patternType="solid">
        <fgColor rgb="FFF1EFE8"/>
        <bgColor rgb="FFF1EFE8"/>
      </patternFill>
    </fill>
    <fill>
      <patternFill patternType="solid">
        <fgColor rgb="FFF8F7F4"/>
        <bgColor rgb="FFF8F7F4"/>
      </patternFill>
    </fill>
    <fill>
      <patternFill patternType="solid">
        <fgColor rgb="FFFEF9E7"/>
        <bgColor rgb="FFFEF9E7"/>
      </patternFill>
    </fill>
    <fill>
      <patternFill patternType="solid">
        <fgColor rgb="FFFBEAF0"/>
        <bgColor rgb="FFFBEAF0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/>
      <top style="thin">
        <color rgb="FFD3D1C7"/>
      </top>
      <bottom style="thin">
        <color rgb="FFD3D1C7"/>
      </bottom>
    </border>
    <border>
      <left/>
      <top style="thin">
        <color rgb="FFD3D1C7"/>
      </top>
      <bottom style="medium">
        <color rgb="FFB4B2A9"/>
      </bottom>
    </border>
    <border>
      <top style="thin">
        <color rgb="FFD3D1C7"/>
      </top>
      <bottom style="medium">
        <color rgb="FFB4B2A9"/>
      </bottom>
    </border>
    <border>
      <right/>
      <top style="thin">
        <color rgb="FFD3D1C7"/>
      </top>
      <bottom style="medium">
        <color rgb="FFB4B2A9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vertical="bottom"/>
    </xf>
    <xf borderId="5" fillId="5" fontId="5" numFmtId="0" xfId="0" applyAlignment="1" applyBorder="1" applyFill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8" fillId="6" fontId="6" numFmtId="0" xfId="0" applyAlignment="1" applyBorder="1" applyFill="1" applyFont="1">
      <alignment shrinkToFit="0" wrapText="1"/>
    </xf>
    <xf borderId="9" fillId="0" fontId="2" numFmtId="0" xfId="0" applyBorder="1" applyFont="1"/>
    <xf borderId="10" fillId="0" fontId="2" numFmtId="0" xfId="0" applyBorder="1" applyFont="1"/>
    <xf borderId="11" fillId="2" fontId="7" numFmtId="0" xfId="0" applyAlignment="1" applyBorder="1" applyFont="1">
      <alignment horizontal="center" shrinkToFit="0" wrapText="1"/>
    </xf>
    <xf borderId="11" fillId="7" fontId="8" numFmtId="0" xfId="0" applyAlignment="1" applyBorder="1" applyFill="1" applyFont="1">
      <alignment horizontal="center" shrinkToFit="0" wrapText="1"/>
    </xf>
    <xf borderId="11" fillId="7" fontId="9" numFmtId="0" xfId="0" applyAlignment="1" applyBorder="1" applyFont="1">
      <alignment shrinkToFit="0" wrapText="1"/>
    </xf>
    <xf borderId="11" fillId="4" fontId="10" numFmtId="0" xfId="0" applyAlignment="1" applyBorder="1" applyFont="1">
      <alignment shrinkToFit="0" wrapText="1"/>
    </xf>
    <xf borderId="11" fillId="7" fontId="11" numFmtId="0" xfId="0" applyAlignment="1" applyBorder="1" applyFont="1">
      <alignment horizontal="center" shrinkToFit="0" wrapText="1"/>
    </xf>
    <xf borderId="11" fillId="4" fontId="12" numFmtId="164" xfId="0" applyAlignment="1" applyBorder="1" applyFont="1" applyNumberFormat="1">
      <alignment horizontal="center" shrinkToFit="0" wrapText="1"/>
    </xf>
    <xf borderId="11" fillId="5" fontId="13" numFmtId="164" xfId="0" applyAlignment="1" applyBorder="1" applyFont="1" applyNumberFormat="1">
      <alignment horizontal="center" shrinkToFit="0" wrapText="1"/>
    </xf>
    <xf borderId="11" fillId="7" fontId="14" numFmtId="0" xfId="0" applyAlignment="1" applyBorder="1" applyFont="1">
      <alignment shrinkToFit="0" wrapText="1"/>
    </xf>
    <xf borderId="11" fillId="4" fontId="15" numFmtId="0" xfId="0" applyAlignment="1" applyBorder="1" applyFont="1">
      <alignment shrinkToFit="0" wrapText="1"/>
    </xf>
    <xf borderId="11" fillId="7" fontId="15" numFmtId="0" xfId="0" applyAlignment="1" applyBorder="1" applyFont="1">
      <alignment shrinkToFit="0" wrapText="1"/>
    </xf>
    <xf borderId="11" fillId="7" fontId="16" numFmtId="0" xfId="0" applyAlignment="1" applyBorder="1" applyFont="1">
      <alignment shrinkToFit="0" wrapText="1"/>
    </xf>
    <xf borderId="11" fillId="8" fontId="17" numFmtId="0" xfId="0" applyAlignment="1" applyBorder="1" applyFill="1" applyFont="1">
      <alignment shrinkToFit="0" wrapText="1"/>
    </xf>
    <xf borderId="11" fillId="9" fontId="18" numFmtId="0" xfId="0" applyAlignment="1" applyBorder="1" applyFill="1" applyFont="1">
      <alignment shrinkToFit="0" wrapText="1"/>
    </xf>
    <xf borderId="8" fillId="6" fontId="6" numFmtId="0" xfId="0" applyAlignment="1" applyBorder="1" applyFont="1">
      <alignment readingOrder="0" shrinkToFit="0" wrapText="1"/>
    </xf>
    <xf borderId="5" fillId="10" fontId="19" numFmtId="0" xfId="0" applyAlignment="1" applyBorder="1" applyFill="1" applyFont="1">
      <alignment horizontal="right" shrinkToFit="0" wrapText="1"/>
    </xf>
    <xf borderId="11" fillId="10" fontId="20" numFmtId="164" xfId="0" applyAlignment="1" applyBorder="1" applyFont="1" applyNumberFormat="1">
      <alignment horizontal="center" shrinkToFit="0" wrapText="1"/>
    </xf>
    <xf borderId="5" fillId="10" fontId="21" numFmtId="0" xfId="0" applyAlignment="1" applyBorder="1" applyFont="1">
      <alignment shrinkToFit="0" wrapText="1"/>
    </xf>
    <xf borderId="5" fillId="8" fontId="22" numFmtId="0" xfId="0" applyAlignment="1" applyBorder="1" applyFont="1">
      <alignment horizontal="right" shrinkToFit="0" wrapText="1"/>
    </xf>
    <xf borderId="11" fillId="8" fontId="23" numFmtId="164" xfId="0" applyAlignment="1" applyBorder="1" applyFont="1" applyNumberFormat="1">
      <alignment horizontal="center" shrinkToFit="0" wrapText="1"/>
    </xf>
    <xf borderId="5" fillId="8" fontId="24" numFmtId="0" xfId="0" applyAlignment="1" applyBorder="1" applyFont="1">
      <alignment shrinkToFit="0" wrapText="1"/>
    </xf>
    <xf borderId="5" fillId="11" fontId="25" numFmtId="0" xfId="0" applyAlignment="1" applyBorder="1" applyFill="1" applyFont="1">
      <alignment horizontal="right" shrinkToFit="0" wrapText="1"/>
    </xf>
    <xf borderId="11" fillId="11" fontId="26" numFmtId="164" xfId="0" applyAlignment="1" applyBorder="1" applyFont="1" applyNumberFormat="1">
      <alignment horizontal="center" shrinkToFit="0" wrapText="1"/>
    </xf>
    <xf borderId="5" fillId="11" fontId="27" numFmtId="0" xfId="0" applyAlignment="1" applyBorder="1" applyFont="1">
      <alignment shrinkToFit="0" wrapText="1"/>
    </xf>
    <xf borderId="5" fillId="9" fontId="28" numFmtId="0" xfId="0" applyAlignment="1" applyBorder="1" applyFont="1">
      <alignment horizontal="right" shrinkToFit="0" wrapText="1"/>
    </xf>
    <xf borderId="11" fillId="9" fontId="29" numFmtId="164" xfId="0" applyAlignment="1" applyBorder="1" applyFont="1" applyNumberFormat="1">
      <alignment horizontal="center" shrinkToFit="0" wrapText="1"/>
    </xf>
    <xf borderId="5" fillId="9" fontId="3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kopedia.com/gwjtech/server-dell-power-edge-r350-xeon-e-2356g-16gb-1-2tb-sas" TargetMode="External"/><Relationship Id="rId2" Type="http://schemas.openxmlformats.org/officeDocument/2006/relationships/hyperlink" Target="https://www.tokopedia.com/gwjtech/server-dell-power-edge-r350-xeon-e-2356g-16gb-1-2tb-sas" TargetMode="External"/><Relationship Id="rId3" Type="http://schemas.openxmlformats.org/officeDocument/2006/relationships/hyperlink" Target="https://www.tokopedia.com/phanstorecom/synology-ds423-diskstation-4-bay-nas-storage-server-backup-desktop-garansi-pro-2-1731200229896783182?extParam=ivf%3Dfalse%26keyword%3D%224-bay+nas%2C+4%C3%972tb+hdd%2C+raid-5+ex%3A+synology+ds423%2B+atau+qnap+ts-464%22%26search_id%3D20260613025243CD00692C3BFE59227UW3%26src%3Dsearch&amp;t_id=1781318882420&amp;t_st=2&amp;t_pp=search_result&amp;t_efo=search_pure_goods_card&amp;t_ef=goods_search&amp;t_sm=&amp;t_spt=search_result" TargetMode="External"/><Relationship Id="rId4" Type="http://schemas.openxmlformats.org/officeDocument/2006/relationships/hyperlink" Target="https://www.tokopedia.com/innovatech-official/apc-srv2ki-srv2000i-srv2000-srv2k-smart-ups-online-2000va-1600watt?extParam=ivf%3Dfalse%26keyword%3D%222000va+%2F+1600w%2C+double+conversion+online%2C+lcd+ex%3A+apc+srv2ki+%2F+prolink+2000va%22%26search_id%3D202606130255145B8ADD2A5D98B1280JZ6%26src%3Dsearch&amp;t_id=1781318882420&amp;t_st=3&amp;t_pp=search_result&amp;t_efo=search_pure_goods_card&amp;t_ef=goods_search&amp;t_sm=&amp;t_spt=search_resul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tokopedia.com/pronetindo/tp-link-tl-sg108e-8-port-8-port-gigabit-easy-smart-switch-tl-sg108e?extParam=ivf%3Dfalse%26keyword%3Dtp-link+tl-sg108e+atau+cisco+sg110%26search_id%3D20260613025757A8C88A0055F636320PTO%26src%3Dsearch&amp;t_id=1781318882420&amp;t_st=5&amp;t_pp=search_result&amp;t_efo=search_pure_goods_card&amp;t_ef=goods_search&amp;t_sm=&amp;t_spt=search_result" TargetMode="External"/><Relationship Id="rId6" Type="http://schemas.openxmlformats.org/officeDocument/2006/relationships/hyperlink" Target="https://www.tokopedia.com/upliftish/kabel-lan-cat6-10m-15m-20m-30m-40m-50m-60m-70m-80m-100m-outdoor-indoor-kabel-patch-cord-utp-rj45-cat6e-komputer-broadband-lan-cable-wifi-cctv-1731879470517224963?extParam=ivf%3Dtrue%26keyword%3Dkabel+cat6+30m%2C+patch+panel+12-port+terminasi+antar+perangkat+dalam+rack%26search_id%3D20260613025930577BCC914F9E5537BCLL%26src%3Dsearch&amp;t_id=1781318882420&amp;t_st=6&amp;t_pp=search_result&amp;t_efo=search_pure_goods_card&amp;t_ef=goods_search&amp;t_sm=&amp;t_spt=search_result" TargetMode="External"/><Relationship Id="rId7" Type="http://schemas.openxmlformats.org/officeDocument/2006/relationships/hyperlink" Target="https://www.tokopedia.com/daikin-proshop-pt-ssm/ac-daikin-flash-inverter-1-5-pk-type-ftkq35uvm4?extParam=ivf%3Dfalse%26keyword%3Dac+daikin+%2F+panasonic+1.5+pk+inverter+ruang+server%26search_id%3D2026061303022100411460F7C92D276MO3%26src%3Dsearch&amp;t_id=1781318882420&amp;t_st=8&amp;t_pp=search_result&amp;t_efo=search_pure_goods_card&amp;t_ef=goods_search&amp;t_sm=&amp;t_spt=search_result" TargetMode="External"/><Relationship Id="rId8" Type="http://schemas.openxmlformats.org/officeDocument/2006/relationships/hyperlink" Target="https://www.tokopedia.com/lezz-computech/windows-server-standar-2022-64bit-16core-original?extParam=ivf%3Dfalse%26keyword%3Dwindows+server+2022+standard+16-core+atau+gunakan+ubuntu+server+lts+%28gratis%29%26search_id%3D20260613030430577BCC914F9E5511A2AZ%26src%3Dsearch&amp;t_id=1781318882420&amp;t_st=9&amp;t_pp=search_result&amp;t_efo=search_pure_goods_card&amp;t_ef=goods_search&amp;t_sm=&amp;t_spt=search_res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6" t="s">
        <v>2</v>
      </c>
      <c r="B4" s="7"/>
      <c r="C4" s="7"/>
      <c r="D4" s="7"/>
      <c r="E4" s="7"/>
      <c r="F4" s="7"/>
      <c r="G4" s="7"/>
      <c r="H4" s="7"/>
      <c r="I4" s="8"/>
    </row>
    <row r="5">
      <c r="A5" s="5"/>
      <c r="B5" s="5"/>
      <c r="C5" s="5"/>
      <c r="D5" s="5"/>
      <c r="E5" s="5"/>
      <c r="F5" s="5"/>
      <c r="G5" s="5"/>
      <c r="H5" s="5"/>
      <c r="I5" s="5"/>
    </row>
    <row r="6">
      <c r="A6" s="9" t="s">
        <v>3</v>
      </c>
      <c r="B6" s="10"/>
      <c r="C6" s="10"/>
      <c r="D6" s="10"/>
      <c r="E6" s="10"/>
      <c r="F6" s="10"/>
      <c r="G6" s="10"/>
      <c r="H6" s="10"/>
      <c r="I6" s="11"/>
    </row>
    <row r="7">
      <c r="A7" s="12" t="s">
        <v>4</v>
      </c>
      <c r="B7" s="12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</row>
    <row r="8">
      <c r="A8" s="13">
        <v>1.0</v>
      </c>
      <c r="B8" s="14" t="s">
        <v>13</v>
      </c>
      <c r="C8" s="15" t="s">
        <v>14</v>
      </c>
      <c r="D8" s="15" t="s">
        <v>15</v>
      </c>
      <c r="E8" s="16">
        <v>1.0</v>
      </c>
      <c r="F8" s="17">
        <v>4.38E7</v>
      </c>
      <c r="G8" s="18">
        <f t="shared" ref="G8:G9" si="1">E8*F8</f>
        <v>43800000</v>
      </c>
      <c r="H8" s="19" t="s">
        <v>16</v>
      </c>
      <c r="I8" s="20" t="s">
        <v>17</v>
      </c>
    </row>
    <row r="9">
      <c r="A9" s="13">
        <v>2.0</v>
      </c>
      <c r="B9" s="14" t="s">
        <v>18</v>
      </c>
      <c r="C9" s="15" t="s">
        <v>14</v>
      </c>
      <c r="D9" s="15" t="s">
        <v>19</v>
      </c>
      <c r="E9" s="16">
        <v>1.0</v>
      </c>
      <c r="F9" s="17">
        <v>4.38E7</v>
      </c>
      <c r="G9" s="18">
        <f t="shared" si="1"/>
        <v>43800000</v>
      </c>
      <c r="H9" s="19" t="s">
        <v>16</v>
      </c>
      <c r="I9" s="20" t="s">
        <v>20</v>
      </c>
    </row>
    <row r="10" ht="152.25" customHeight="1">
      <c r="A10" s="13">
        <v>3.0</v>
      </c>
      <c r="B10" s="14" t="s">
        <v>21</v>
      </c>
      <c r="C10" s="15" t="s">
        <v>22</v>
      </c>
      <c r="D10" s="15" t="s">
        <v>23</v>
      </c>
      <c r="E10" s="16">
        <v>1.0</v>
      </c>
      <c r="F10" s="17">
        <v>5360000.0</v>
      </c>
      <c r="G10" s="18">
        <v>1.10445E7</v>
      </c>
      <c r="H10" s="19" t="s">
        <v>24</v>
      </c>
      <c r="I10" s="20" t="s">
        <v>25</v>
      </c>
    </row>
    <row r="11">
      <c r="A11" s="13">
        <v>4.0</v>
      </c>
      <c r="B11" s="14" t="s">
        <v>26</v>
      </c>
      <c r="C11" s="15" t="s">
        <v>27</v>
      </c>
      <c r="D11" s="15" t="s">
        <v>28</v>
      </c>
      <c r="E11" s="16">
        <v>2.0</v>
      </c>
      <c r="F11" s="17">
        <v>5360000.0</v>
      </c>
      <c r="G11" s="18">
        <f t="shared" ref="G11:G18" si="2">E11*F11</f>
        <v>10720000</v>
      </c>
      <c r="H11" s="21" t="s">
        <v>29</v>
      </c>
      <c r="I11" s="20" t="s">
        <v>30</v>
      </c>
    </row>
    <row r="12" ht="168.0" customHeight="1">
      <c r="A12" s="13">
        <v>5.0</v>
      </c>
      <c r="B12" s="14" t="s">
        <v>31</v>
      </c>
      <c r="C12" s="15" t="s">
        <v>32</v>
      </c>
      <c r="D12" s="15" t="s">
        <v>33</v>
      </c>
      <c r="E12" s="16">
        <v>2.0</v>
      </c>
      <c r="F12" s="17">
        <v>1.106E7</v>
      </c>
      <c r="G12" s="18">
        <f t="shared" si="2"/>
        <v>22120000</v>
      </c>
      <c r="H12" s="19" t="s">
        <v>34</v>
      </c>
      <c r="I12" s="20" t="s">
        <v>35</v>
      </c>
    </row>
    <row r="13" ht="113.25" customHeight="1">
      <c r="A13" s="13">
        <v>6.0</v>
      </c>
      <c r="B13" s="14" t="s">
        <v>36</v>
      </c>
      <c r="C13" s="15" t="s">
        <v>37</v>
      </c>
      <c r="D13" s="15" t="s">
        <v>38</v>
      </c>
      <c r="E13" s="16">
        <v>2.0</v>
      </c>
      <c r="F13" s="17">
        <v>428900.0</v>
      </c>
      <c r="G13" s="18">
        <f t="shared" si="2"/>
        <v>857800</v>
      </c>
      <c r="H13" s="19" t="s">
        <v>39</v>
      </c>
      <c r="I13" s="20" t="s">
        <v>40</v>
      </c>
    </row>
    <row r="14" ht="110.25" customHeight="1">
      <c r="A14" s="13">
        <v>7.0</v>
      </c>
      <c r="B14" s="14" t="s">
        <v>41</v>
      </c>
      <c r="C14" s="15" t="s">
        <v>42</v>
      </c>
      <c r="D14" s="15" t="s">
        <v>43</v>
      </c>
      <c r="E14" s="16">
        <v>1.0</v>
      </c>
      <c r="F14" s="17">
        <v>89793.0</v>
      </c>
      <c r="G14" s="18">
        <f t="shared" si="2"/>
        <v>89793</v>
      </c>
      <c r="H14" s="22" t="s">
        <v>44</v>
      </c>
      <c r="I14" s="20" t="s">
        <v>45</v>
      </c>
    </row>
    <row r="15" ht="111.0" customHeight="1">
      <c r="A15" s="13">
        <v>8.0</v>
      </c>
      <c r="B15" s="14" t="s">
        <v>46</v>
      </c>
      <c r="C15" s="15" t="s">
        <v>47</v>
      </c>
      <c r="D15" s="15" t="s">
        <v>48</v>
      </c>
      <c r="E15" s="16">
        <v>1.0</v>
      </c>
      <c r="F15" s="17">
        <v>7509000.0</v>
      </c>
      <c r="G15" s="18">
        <f t="shared" si="2"/>
        <v>7509000</v>
      </c>
      <c r="H15" s="22" t="s">
        <v>49</v>
      </c>
      <c r="I15" s="20" t="s">
        <v>50</v>
      </c>
    </row>
    <row r="16" ht="108.0" customHeight="1">
      <c r="A16" s="13">
        <v>9.0</v>
      </c>
      <c r="B16" s="23" t="s">
        <v>51</v>
      </c>
      <c r="C16" s="15" t="s">
        <v>52</v>
      </c>
      <c r="D16" s="15" t="s">
        <v>52</v>
      </c>
      <c r="E16" s="16">
        <v>1.0</v>
      </c>
      <c r="F16" s="17">
        <v>1.3499E7</v>
      </c>
      <c r="G16" s="18">
        <f t="shared" si="2"/>
        <v>13499000</v>
      </c>
      <c r="H16" s="22" t="s">
        <v>53</v>
      </c>
      <c r="I16" s="20" t="s">
        <v>54</v>
      </c>
    </row>
    <row r="17">
      <c r="A17" s="13">
        <v>10.0</v>
      </c>
      <c r="B17" s="14" t="s">
        <v>55</v>
      </c>
      <c r="C17" s="15" t="s">
        <v>56</v>
      </c>
      <c r="D17" s="15" t="s">
        <v>57</v>
      </c>
      <c r="E17" s="16">
        <v>1.0</v>
      </c>
      <c r="F17" s="17">
        <v>6000000.0</v>
      </c>
      <c r="G17" s="18">
        <f t="shared" si="2"/>
        <v>6000000</v>
      </c>
      <c r="H17" s="21" t="s">
        <v>58</v>
      </c>
      <c r="I17" s="20" t="s">
        <v>59</v>
      </c>
    </row>
    <row r="18">
      <c r="A18" s="13">
        <v>11.0</v>
      </c>
      <c r="B18" s="24" t="s">
        <v>60</v>
      </c>
      <c r="C18" s="15" t="s">
        <v>61</v>
      </c>
      <c r="D18" s="15" t="s">
        <v>62</v>
      </c>
      <c r="E18" s="16">
        <v>1.0</v>
      </c>
      <c r="F18" s="17">
        <v>1.0E7</v>
      </c>
      <c r="G18" s="18">
        <f t="shared" si="2"/>
        <v>10000000</v>
      </c>
      <c r="H18" s="21" t="s">
        <v>63</v>
      </c>
      <c r="I18" s="20" t="s">
        <v>64</v>
      </c>
    </row>
    <row r="19">
      <c r="A19" s="5"/>
      <c r="B19" s="5"/>
      <c r="C19" s="5"/>
      <c r="D19" s="5"/>
      <c r="E19" s="5"/>
      <c r="F19" s="5"/>
      <c r="G19" s="5"/>
      <c r="H19" s="5"/>
      <c r="I19" s="5"/>
    </row>
    <row r="20">
      <c r="A20" s="25" t="s">
        <v>65</v>
      </c>
      <c r="B20" s="10"/>
      <c r="C20" s="10"/>
      <c r="D20" s="10"/>
      <c r="E20" s="10"/>
      <c r="F20" s="10"/>
      <c r="G20" s="10"/>
      <c r="H20" s="10"/>
      <c r="I20" s="11"/>
    </row>
    <row r="21">
      <c r="A21" s="26" t="s">
        <v>66</v>
      </c>
      <c r="B21" s="7"/>
      <c r="C21" s="7"/>
      <c r="D21" s="7"/>
      <c r="E21" s="7"/>
      <c r="F21" s="8"/>
      <c r="G21" s="27">
        <f>G8+G9+G10+G11+G12+G13+G14+G15+G16+G17</f>
        <v>159440093</v>
      </c>
      <c r="H21" s="28" t="s">
        <v>67</v>
      </c>
      <c r="I21" s="8"/>
    </row>
    <row r="22">
      <c r="A22" s="29" t="s">
        <v>68</v>
      </c>
      <c r="B22" s="7"/>
      <c r="C22" s="7"/>
      <c r="D22" s="7"/>
      <c r="E22" s="7"/>
      <c r="F22" s="8"/>
      <c r="G22" s="30">
        <f>G18</f>
        <v>10000000</v>
      </c>
      <c r="H22" s="31" t="s">
        <v>69</v>
      </c>
      <c r="I22" s="8"/>
    </row>
    <row r="23">
      <c r="A23" s="32" t="s">
        <v>70</v>
      </c>
      <c r="B23" s="7"/>
      <c r="C23" s="7"/>
      <c r="D23" s="7"/>
      <c r="E23" s="7"/>
      <c r="F23" s="8"/>
      <c r="G23" s="33">
        <f>G21+G22*3</f>
        <v>189440093</v>
      </c>
      <c r="H23" s="34" t="s">
        <v>71</v>
      </c>
      <c r="I23" s="8"/>
    </row>
    <row r="24">
      <c r="A24" s="35" t="s">
        <v>72</v>
      </c>
      <c r="B24" s="7"/>
      <c r="C24" s="7"/>
      <c r="D24" s="7"/>
      <c r="E24" s="7"/>
      <c r="F24" s="8"/>
      <c r="G24" s="36">
        <f>G21+G22*5</f>
        <v>209440093</v>
      </c>
      <c r="H24" s="37" t="s">
        <v>73</v>
      </c>
      <c r="I24" s="8"/>
    </row>
  </sheetData>
  <mergeCells count="13">
    <mergeCell ref="H21:I21"/>
    <mergeCell ref="H22:I22"/>
    <mergeCell ref="A23:F23"/>
    <mergeCell ref="H23:I23"/>
    <mergeCell ref="A24:F24"/>
    <mergeCell ref="H24:I24"/>
    <mergeCell ref="A1:I1"/>
    <mergeCell ref="A2:I2"/>
    <mergeCell ref="A4:I4"/>
    <mergeCell ref="A6:I6"/>
    <mergeCell ref="A20:I20"/>
    <mergeCell ref="A21:F21"/>
    <mergeCell ref="A22:F22"/>
  </mergeCells>
  <hyperlinks>
    <hyperlink r:id="rId1" ref="H8"/>
    <hyperlink r:id="rId2" ref="H9"/>
    <hyperlink r:id="rId3" ref="H10"/>
    <hyperlink r:id="rId4" ref="H12"/>
    <hyperlink r:id="rId5" ref="H13"/>
    <hyperlink r:id="rId6" ref="H14"/>
    <hyperlink r:id="rId7" ref="H15"/>
    <hyperlink r:id="rId8" ref="H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